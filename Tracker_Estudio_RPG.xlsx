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gistro_Estudio" sheetId="1" r:id="rId1"/>
    <sheet name="Guia_y_Resume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20.83203125" customWidth="1"/>
    <col min="5" max="5" width="18.83203125" customWidth="1"/>
    <col min="6" max="6" width="10.83203125" customWidth="1"/>
    <col min="7" max="7" width="18.83203125" customWidth="1"/>
    <col min="8" max="8" width="14.83203125" customWidth="1"/>
    <col min="9" max="9" width="32.83203125" customWidth="1"/>
  </cols>
  <sheetData>
    <row r="1">
      <c r="A1" t="str">
        <v>Fecha</v>
      </c>
      <c r="B1" t="str">
        <v>Hora_Inicio</v>
      </c>
      <c r="C1" t="str">
        <v>Hora_Fin</v>
      </c>
      <c r="D1" t="str">
        <v>Materia</v>
      </c>
      <c r="E1" t="str">
        <v>Duracion_Minutos</v>
      </c>
      <c r="F1" t="str">
        <v>Calidad</v>
      </c>
      <c r="G1" t="str">
        <v>Uso_IA_Porcentaje</v>
      </c>
      <c r="H1" t="str">
        <v>XP_Ganados</v>
      </c>
      <c r="I1" t="str">
        <v>Notas</v>
      </c>
    </row>
    <row r="2">
      <c r="A2" t="str">
        <v>2026-10-18</v>
      </c>
      <c r="B2" t="str">
        <v>15:19</v>
      </c>
      <c r="C2" t="str">
        <v>15:32</v>
      </c>
      <c r="D2" t="str">
        <v>Diseño, Visualización y Comprensión de Deep Neural Networks</v>
      </c>
      <c r="E2">
        <f>IF(OR(B2="",C2=""),"",MOD(TIMEVALUE(C2)-TIMEVALUE(B2),1)*1440)</f>
        <v>13</v>
      </c>
      <c r="F2">
        <v>2</v>
      </c>
      <c r="G2" s="1">
        <v>1</v>
      </c>
      <c r="H2">
        <f>IF(E2="","",ROUND(E2*(1+(F2*0.2)),0))</f>
        <v>18</v>
      </c>
      <c r="I2" t="str">
        <v>Avances para la práctica guiada de MNIST</v>
      </c>
    </row>
    <row r="3">
      <c r="A3" t="str">
        <v>2026-10-18</v>
      </c>
      <c r="B3" t="str">
        <v>19:27</v>
      </c>
      <c r="C3" t="str">
        <v>20:15</v>
      </c>
      <c r="D3" t="str">
        <v>Diseño, Visualización y Comprensión de Deep Neural Networks</v>
      </c>
      <c r="E3">
        <f>IF(OR(B3="",C3=""),"",MOD(TIMEVALUE(C3)-TIMEVALUE(B3),1)*1440)</f>
        <v>48</v>
      </c>
      <c r="F3">
        <v>1</v>
      </c>
      <c r="G3" s="1">
        <v>1</v>
      </c>
      <c r="H3">
        <f>IF(E3="","",ROUND(E3*(1+(F3*0.2)),0))</f>
        <v>58</v>
      </c>
      <c r="I3" t="str">
        <v>Práctica de MNIST asistida con IA para poder entregar a tiempo.</v>
      </c>
    </row>
  </sheetData>
  <ignoredErrors>
    <ignoredError numberStoredAsText="1" sqref="A1:I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cols>
    <col min="1" max="1" width="34.83203125" customWidth="1"/>
    <col min="2" max="2" width="75.83203125" customWidth="1"/>
  </cols>
  <sheetData>
    <row r="1">
      <c r="A1" t="str">
        <v>RESUMEN DE RENDIMIENTO</v>
      </c>
      <c r="B1" t="str">
        <v>VALOR</v>
      </c>
    </row>
    <row r="2">
      <c r="A2" t="str">
        <v>Total de Sesiones</v>
      </c>
      <c r="B2">
        <f>COUNTA(Registro_Estudio!D2:D1000)</f>
      </c>
    </row>
    <row r="3">
      <c r="A3" t="str">
        <v>Tiempo Total (Minutos)</v>
      </c>
      <c r="B3">
        <f>SUM(Registro_Estudio!E2:E1000)</f>
      </c>
    </row>
    <row r="4">
      <c r="A4" t="str">
        <v>Tiempo Total (Horas)</v>
      </c>
      <c r="B4">
        <f>SUM(Registro_Estudio!E2:E1000)/60</f>
      </c>
    </row>
    <row r="5">
      <c r="A5" t="str">
        <v>Promedio de Calidad (1-5)</v>
      </c>
      <c r="B5">
        <f>IFERROR(AVERAGE(Registro_Estudio!F2:F1000),0)</f>
      </c>
    </row>
    <row r="6">
      <c r="A6" t="str">
        <v>Promedio Uso de IA</v>
      </c>
      <c r="B6" s="1">
        <f>IFERROR(AVERAGE(Registro_Estudio!G2:G1000),0)</f>
      </c>
    </row>
    <row r="7">
      <c r="A7" t="str">
        <v>Total XP Acumulados</v>
      </c>
      <c r="B7">
        <f>SUM(Registro_Estudio!H2:H1000)</f>
      </c>
    </row>
    <row r="8">
      <c r="A8" t="str">
        <v>Nivel Actual del Estudiante</v>
      </c>
      <c r="B8">
        <f>INT(SUM(Registro_Estudio!H2:H1000)/500)+1</f>
      </c>
    </row>
    <row r="10">
      <c r="A10" t="str">
        <v>GUÍA DE REFERENCIA RÁPIDA PARA NUEVOS USUARIOS</v>
      </c>
      <c r="B10" t="str">
        <v/>
      </c>
    </row>
    <row r="11">
      <c r="A11" t="str">
        <v>Escala de Calidad (1 al 5)</v>
      </c>
      <c r="B11" t="str">
        <v>Significado</v>
      </c>
    </row>
    <row r="12">
      <c r="A12" t="str">
        <v>1 - Muy bajo</v>
      </c>
      <c r="B12" t="str">
        <v>Distraído todo el tiempo, procrastinación constante, baja retención.</v>
      </c>
    </row>
    <row r="13">
      <c r="A13" t="str">
        <v>2 - Bajo</v>
      </c>
      <c r="B13" t="str">
        <v>Costó mucho mantener el foco, interrupciones frecuentes.</v>
      </c>
    </row>
    <row r="14">
      <c r="A14" t="str">
        <v>3 - Normal / Neutro</v>
      </c>
      <c r="B14" t="str">
        <v>Sesión estándar, se avanzó lo planeado con distracciones menores.</v>
      </c>
    </row>
    <row r="15">
      <c r="A15" t="str">
        <v>4 - Bueno</v>
      </c>
      <c r="B15" t="str">
        <v>Buen ritmo de trabajo, comprensión sólida y pocas distracciones.</v>
      </c>
    </row>
    <row r="16">
      <c r="A16" t="str">
        <v>5 - Flujo total</v>
      </c>
      <c r="B16" t="str">
        <v>Concentración profunda, el tiempo pasó volando y retención al máximo.</v>
      </c>
    </row>
    <row r="18">
      <c r="A18" t="str">
        <v>Escala de Uso de IA (0% a 100%)</v>
      </c>
      <c r="B18" t="str">
        <v>Significado</v>
      </c>
    </row>
    <row r="19">
      <c r="A19" t="str">
        <v>0% (Autónomo)</v>
      </c>
      <c r="B19" t="str">
        <v>Estudio 100% autónomo (lectura, código o ejercicios resueltos sin asistencia).</v>
      </c>
    </row>
    <row r="20">
      <c r="A20" t="str">
        <v>25% - 50% (Híbrido)</v>
      </c>
      <c r="B20" t="str">
        <v>Estudio propio usando IA para aclarar dudas puntuales, explicar conceptos o depurar errores.</v>
      </c>
    </row>
    <row r="21">
      <c r="A21" t="str">
        <v>75% - 100% (Dependencia)</v>
      </c>
      <c r="B21" t="str">
        <v>La IA resolvió la mayor parte del ejercicio o generó la respuesta directamente.</v>
      </c>
    </row>
  </sheetData>
  <ignoredErrors>
    <ignoredError numberStoredAsText="1" sqref="A1:B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Registro_Estudio</vt:lpstr>
      <vt:lpstr>Guia_y_Resumen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